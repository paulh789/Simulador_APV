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EB9C77F3-B3AD-456B-BC92-FEC2D045A27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J6uPwpFah4ntpG2l870/Gn9pgvN6yqUf7B20A+griU="/>
    </ext>
  </extLst>
</workbook>
</file>

<file path=xl/calcChain.xml><?xml version="1.0" encoding="utf-8"?>
<calcChain xmlns="http://schemas.openxmlformats.org/spreadsheetml/2006/main">
  <c r="B11" i="1" l="1"/>
  <c r="G11" i="1"/>
  <c r="D11" i="1"/>
  <c r="E11" i="1" s="1"/>
  <c r="H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D10" i="2"/>
  <c r="F10" i="2" s="1"/>
  <c r="B11" i="2" s="1"/>
  <c r="D11" i="2" s="1"/>
  <c r="F11" i="2" s="1"/>
  <c r="B12" i="2" s="1"/>
  <c r="D12" i="2" s="1"/>
  <c r="F12" i="2" s="1"/>
  <c r="B13" i="2" s="1"/>
  <c r="D13" i="2" s="1"/>
  <c r="F13" i="2" s="1"/>
  <c r="B14" i="2" s="1"/>
  <c r="D14" i="2" s="1"/>
  <c r="F14" i="2" s="1"/>
  <c r="B15" i="2" s="1"/>
  <c r="D15" i="2" s="1"/>
  <c r="F15" i="2" s="1"/>
  <c r="B16" i="2" s="1"/>
  <c r="D16" i="2" s="1"/>
  <c r="F16" i="2" s="1"/>
  <c r="B17" i="2" s="1"/>
  <c r="D17" i="2" s="1"/>
  <c r="F17" i="2" s="1"/>
  <c r="B18" i="2" s="1"/>
  <c r="D18" i="2" s="1"/>
  <c r="F18" i="2" s="1"/>
  <c r="B19" i="2" s="1"/>
  <c r="D19" i="2" s="1"/>
  <c r="F19" i="2" s="1"/>
  <c r="B20" i="2" s="1"/>
  <c r="D20" i="2" s="1"/>
  <c r="F20" i="2" s="1"/>
  <c r="B21" i="2" s="1"/>
  <c r="D21" i="2" s="1"/>
  <c r="F21" i="2" s="1"/>
  <c r="B22" i="2" s="1"/>
  <c r="D22" i="2" s="1"/>
  <c r="F22" i="2" s="1"/>
  <c r="B23" i="2" s="1"/>
  <c r="D23" i="2" s="1"/>
  <c r="F23" i="2" s="1"/>
  <c r="B24" i="2" s="1"/>
  <c r="D24" i="2" s="1"/>
  <c r="F24" i="2" s="1"/>
  <c r="B25" i="2" s="1"/>
  <c r="D25" i="2" s="1"/>
  <c r="F25" i="2" s="1"/>
  <c r="B12" i="1" l="1"/>
  <c r="D12" i="1" s="1"/>
  <c r="E12" i="1" s="1"/>
  <c r="H12" i="1" s="1"/>
  <c r="B13" i="1" s="1"/>
  <c r="D13" i="1" s="1"/>
  <c r="E13" i="1" s="1"/>
  <c r="H13" i="1" s="1"/>
  <c r="B14" i="1" s="1"/>
  <c r="D14" i="1" s="1"/>
  <c r="E14" i="1" s="1"/>
  <c r="H14" i="1" s="1"/>
  <c r="B15" i="1" s="1"/>
  <c r="D15" i="1" s="1"/>
  <c r="E15" i="1" s="1"/>
  <c r="H15" i="1" s="1"/>
  <c r="B16" i="1" s="1"/>
  <c r="D16" i="1" s="1"/>
  <c r="E16" i="1" s="1"/>
  <c r="H16" i="1" s="1"/>
  <c r="B17" i="1" s="1"/>
  <c r="D17" i="1" s="1"/>
  <c r="E17" i="1" s="1"/>
  <c r="H17" i="1" s="1"/>
  <c r="B18" i="1" s="1"/>
  <c r="D18" i="1" s="1"/>
  <c r="E18" i="1" s="1"/>
  <c r="H18" i="1" s="1"/>
  <c r="B19" i="1" s="1"/>
  <c r="D19" i="1" s="1"/>
  <c r="E19" i="1" s="1"/>
  <c r="H19" i="1" s="1"/>
  <c r="B20" i="1" s="1"/>
  <c r="D20" i="1" s="1"/>
  <c r="E20" i="1" s="1"/>
  <c r="H20" i="1" s="1"/>
  <c r="B21" i="1" s="1"/>
  <c r="D21" i="1" s="1"/>
  <c r="E21" i="1" s="1"/>
  <c r="H21" i="1" s="1"/>
  <c r="B22" i="1" s="1"/>
  <c r="D22" i="1" s="1"/>
  <c r="E22" i="1" s="1"/>
  <c r="H22" i="1" s="1"/>
  <c r="B23" i="1" s="1"/>
  <c r="D23" i="1" s="1"/>
  <c r="E23" i="1" s="1"/>
  <c r="H23" i="1" s="1"/>
  <c r="B24" i="1" s="1"/>
  <c r="D24" i="1" s="1"/>
  <c r="E24" i="1" s="1"/>
  <c r="H24" i="1" s="1"/>
  <c r="B25" i="1" s="1"/>
  <c r="D25" i="1" s="1"/>
  <c r="E25" i="1" s="1"/>
  <c r="H25" i="1" s="1"/>
  <c r="B26" i="1" s="1"/>
  <c r="D26" i="1" s="1"/>
  <c r="E26" i="1" s="1"/>
  <c r="H26" i="1" s="1"/>
</calcChain>
</file>

<file path=xl/sharedStrings.xml><?xml version="1.0" encoding="utf-8"?>
<sst xmlns="http://schemas.openxmlformats.org/spreadsheetml/2006/main" count="32" uniqueCount="21">
  <si>
    <t>Valo UF</t>
  </si>
  <si>
    <t>Prima mensual 3UF Anual 36UF $ 1320000</t>
  </si>
  <si>
    <t>Aporte</t>
  </si>
  <si>
    <t>Rentabilidad</t>
  </si>
  <si>
    <t>Aporte Mensual</t>
  </si>
  <si>
    <t>Cobertura</t>
  </si>
  <si>
    <t>AÑO</t>
  </si>
  <si>
    <t>CAPITAL</t>
  </si>
  <si>
    <t>Aporte anual</t>
  </si>
  <si>
    <t>RENTABILIDAD</t>
  </si>
  <si>
    <t>NUEVO CAPITAL</t>
  </si>
  <si>
    <t>Costo Cobetura UF</t>
  </si>
  <si>
    <t>Costo Cobetura $</t>
  </si>
  <si>
    <r>
      <rPr>
        <b/>
        <sz val="11"/>
        <color theme="1"/>
        <rFont val="Calibri"/>
      </rPr>
      <t>Capital Final</t>
    </r>
    <r>
      <rPr>
        <sz val="11"/>
        <color theme="1"/>
        <rFont val="Calibri"/>
      </rPr>
      <t xml:space="preserve"> </t>
    </r>
  </si>
  <si>
    <t>+</t>
  </si>
  <si>
    <t>Alza UF Anual</t>
  </si>
  <si>
    <t>Capital inicial</t>
  </si>
  <si>
    <t>aporte mensual</t>
  </si>
  <si>
    <t>anual</t>
  </si>
  <si>
    <t>Aporte Anual</t>
  </si>
  <si>
    <t>500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</si>
</sst>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??_-;_-@"/>
    <numFmt numFmtId="165" formatCode="&quot;$&quot;#,##0"/>
    <numFmt numFmtId="166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2" borderId="1" xfId="0" applyFont="1" applyFill="1" applyBorder="1"/>
    <xf numFmtId="164" fontId="3" fillId="2" borderId="2" xfId="0" applyNumberFormat="1" applyFont="1" applyFill="1" applyBorder="1" applyAlignment="1">
      <alignment horizontal="right"/>
    </xf>
    <xf numFmtId="0" fontId="3" fillId="2" borderId="3" xfId="0" applyFont="1" applyFill="1" applyBorder="1"/>
    <xf numFmtId="0" fontId="3" fillId="0" borderId="4" xfId="0" applyFont="1" applyBorder="1"/>
    <xf numFmtId="165" fontId="2" fillId="0" borderId="5" xfId="0" applyNumberFormat="1" applyFont="1" applyBorder="1"/>
    <xf numFmtId="0" fontId="3" fillId="2" borderId="6" xfId="0" applyFont="1" applyFill="1" applyBorder="1"/>
    <xf numFmtId="10" fontId="3" fillId="2" borderId="7" xfId="0" applyNumberFormat="1" applyFont="1" applyFill="1" applyBorder="1" applyAlignment="1">
      <alignment horizontal="right"/>
    </xf>
    <xf numFmtId="9" fontId="3" fillId="2" borderId="8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2" borderId="7" xfId="0" applyFont="1" applyFill="1" applyBorder="1" applyAlignment="1">
      <alignment horizontal="right"/>
    </xf>
    <xf numFmtId="165" fontId="3" fillId="2" borderId="7" xfId="0" applyNumberFormat="1" applyFont="1" applyFill="1" applyBorder="1" applyAlignment="1">
      <alignment horizontal="right"/>
    </xf>
    <xf numFmtId="166" fontId="3" fillId="2" borderId="8" xfId="0" applyNumberFormat="1" applyFont="1" applyFill="1" applyBorder="1"/>
    <xf numFmtId="166" fontId="3" fillId="0" borderId="10" xfId="0" applyNumberFormat="1" applyFont="1" applyBorder="1"/>
    <xf numFmtId="0" fontId="3" fillId="2" borderId="11" xfId="0" applyFont="1" applyFill="1" applyBorder="1"/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0" fontId="3" fillId="3" borderId="18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164" fontId="3" fillId="0" borderId="18" xfId="0" applyNumberFormat="1" applyFont="1" applyBorder="1"/>
    <xf numFmtId="164" fontId="3" fillId="2" borderId="18" xfId="0" applyNumberFormat="1" applyFont="1" applyFill="1" applyBorder="1"/>
    <xf numFmtId="0" fontId="3" fillId="2" borderId="18" xfId="0" applyFont="1" applyFill="1" applyBorder="1" applyAlignment="1">
      <alignment horizontal="center" vertical="center"/>
    </xf>
    <xf numFmtId="164" fontId="3" fillId="4" borderId="18" xfId="0" applyNumberFormat="1" applyFont="1" applyFill="1" applyBorder="1"/>
    <xf numFmtId="9" fontId="4" fillId="0" borderId="0" xfId="0" applyNumberFormat="1" applyFont="1" applyAlignment="1">
      <alignment horizontal="center"/>
    </xf>
    <xf numFmtId="9" fontId="3" fillId="0" borderId="0" xfId="0" applyNumberFormat="1" applyFont="1"/>
    <xf numFmtId="0" fontId="5" fillId="0" borderId="0" xfId="0" applyFont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4" fontId="3" fillId="0" borderId="0" xfId="0" applyNumberFormat="1" applyFont="1"/>
    <xf numFmtId="0" fontId="3" fillId="0" borderId="5" xfId="0" applyFont="1" applyBorder="1"/>
    <xf numFmtId="1" fontId="3" fillId="2" borderId="8" xfId="0" applyNumberFormat="1" applyFont="1" applyFill="1" applyBorder="1" applyAlignment="1">
      <alignment horizontal="center"/>
    </xf>
    <xf numFmtId="0" fontId="3" fillId="2" borderId="8" xfId="0" applyFont="1" applyFill="1" applyBorder="1"/>
    <xf numFmtId="0" fontId="1" fillId="0" borderId="0" xfId="0" applyFont="1"/>
    <xf numFmtId="0" fontId="6" fillId="2" borderId="6" xfId="0" applyFont="1" applyFill="1" applyBorder="1"/>
    <xf numFmtId="9" fontId="3" fillId="2" borderId="7" xfId="0" applyNumberFormat="1" applyFont="1" applyFill="1" applyBorder="1" applyAlignment="1">
      <alignment horizontal="right"/>
    </xf>
    <xf numFmtId="0" fontId="6" fillId="2" borderId="11" xfId="0" applyFont="1" applyFill="1" applyBorder="1"/>
    <xf numFmtId="0" fontId="6" fillId="2" borderId="1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4" workbookViewId="0">
      <selection activeCell="E12" sqref="E12"/>
    </sheetView>
  </sheetViews>
  <sheetFormatPr baseColWidth="10" defaultColWidth="14.3984375" defaultRowHeight="15" customHeight="1" x14ac:dyDescent="0.45"/>
  <cols>
    <col min="1" max="1" width="14.86328125" customWidth="1"/>
    <col min="2" max="2" width="14.1328125" customWidth="1"/>
    <col min="3" max="3" width="12.1328125" customWidth="1"/>
    <col min="4" max="4" width="13.265625" customWidth="1"/>
    <col min="5" max="5" width="13" customWidth="1"/>
    <col min="6" max="6" width="17.33203125" customWidth="1"/>
    <col min="7" max="7" width="17.59765625" customWidth="1"/>
    <col min="8" max="8" width="14.3984375" customWidth="1"/>
    <col min="9" max="10" width="4.86328125" customWidth="1"/>
    <col min="11" max="11" width="12.73046875" customWidth="1"/>
  </cols>
  <sheetData>
    <row r="1" spans="1:11" ht="14.25" customHeight="1" x14ac:dyDescent="0.45"/>
    <row r="2" spans="1:11" ht="14.25" customHeight="1" x14ac:dyDescent="0.45"/>
    <row r="3" spans="1:11" ht="14.25" customHeight="1" x14ac:dyDescent="0.45">
      <c r="A3" s="1" t="s">
        <v>0</v>
      </c>
      <c r="B3" s="2">
        <v>37000</v>
      </c>
      <c r="C3" s="2"/>
      <c r="D3" s="1" t="s">
        <v>1</v>
      </c>
    </row>
    <row r="4" spans="1:11" ht="14.25" customHeight="1" x14ac:dyDescent="0.45">
      <c r="G4" s="44"/>
    </row>
    <row r="5" spans="1:11" ht="14.25" customHeight="1" x14ac:dyDescent="0.45">
      <c r="A5" s="3"/>
      <c r="B5" s="4">
        <v>0</v>
      </c>
      <c r="C5" s="4"/>
      <c r="D5" s="5" t="s">
        <v>2</v>
      </c>
      <c r="E5" s="7"/>
    </row>
    <row r="6" spans="1:11" ht="14.25" customHeight="1" x14ac:dyDescent="0.45">
      <c r="A6" s="8" t="s">
        <v>3</v>
      </c>
      <c r="B6" s="46">
        <v>0.15</v>
      </c>
      <c r="C6" s="9"/>
      <c r="D6" s="10">
        <v>0.12</v>
      </c>
      <c r="E6" s="12"/>
    </row>
    <row r="7" spans="1:11" ht="14.25" customHeight="1" x14ac:dyDescent="0.45">
      <c r="A7" s="8" t="s">
        <v>4</v>
      </c>
      <c r="B7" s="13"/>
      <c r="C7" s="14">
        <v>91245</v>
      </c>
      <c r="D7" s="15"/>
      <c r="E7" s="12"/>
    </row>
    <row r="8" spans="1:11" ht="14.25" customHeight="1" x14ac:dyDescent="0.45">
      <c r="A8" s="45" t="s">
        <v>19</v>
      </c>
      <c r="B8" s="9"/>
      <c r="C8" s="14">
        <v>2400000</v>
      </c>
      <c r="D8" s="15"/>
      <c r="E8" s="16"/>
    </row>
    <row r="9" spans="1:11" ht="14.25" customHeight="1" thickBot="1" x14ac:dyDescent="0.5">
      <c r="A9" s="47" t="s">
        <v>5</v>
      </c>
      <c r="B9" s="18"/>
      <c r="C9" s="48" t="s">
        <v>20</v>
      </c>
      <c r="D9" s="19"/>
      <c r="E9" s="21"/>
    </row>
    <row r="10" spans="1:11" ht="14.25" customHeight="1" x14ac:dyDescent="0.45">
      <c r="A10" s="22" t="s">
        <v>6</v>
      </c>
      <c r="B10" s="23" t="s">
        <v>7</v>
      </c>
      <c r="C10" s="24" t="s">
        <v>8</v>
      </c>
      <c r="D10" s="24" t="s">
        <v>9</v>
      </c>
      <c r="E10" s="24" t="s">
        <v>10</v>
      </c>
      <c r="F10" s="25" t="s">
        <v>11</v>
      </c>
      <c r="G10" s="25" t="s">
        <v>12</v>
      </c>
      <c r="H10" s="26" t="s">
        <v>13</v>
      </c>
      <c r="I10" s="27"/>
    </row>
    <row r="11" spans="1:11" ht="14.25" customHeight="1" x14ac:dyDescent="0.55000000000000004">
      <c r="A11" s="28">
        <v>1</v>
      </c>
      <c r="B11" s="29">
        <f>C8</f>
        <v>2400000</v>
      </c>
      <c r="C11" s="29"/>
      <c r="D11" s="29">
        <f t="shared" ref="D11:D26" si="0">+(B11+C11)*B$6</f>
        <v>360000</v>
      </c>
      <c r="E11" s="30">
        <f>+D11+B11+C11</f>
        <v>2760000</v>
      </c>
      <c r="F11" s="31">
        <v>9</v>
      </c>
      <c r="G11" s="29">
        <f>SUM(F11*37000)</f>
        <v>333000</v>
      </c>
      <c r="H11" s="32">
        <f>SUM(E11-G11)</f>
        <v>2427000</v>
      </c>
      <c r="I11" s="33" t="s">
        <v>14</v>
      </c>
      <c r="J11" s="34">
        <v>0.03</v>
      </c>
      <c r="K11" s="35" t="s">
        <v>15</v>
      </c>
    </row>
    <row r="12" spans="1:11" ht="14.25" customHeight="1" x14ac:dyDescent="0.45">
      <c r="A12" s="28">
        <v>2</v>
      </c>
      <c r="B12" s="29">
        <f t="shared" ref="B12:B26" si="1">+H11</f>
        <v>2427000</v>
      </c>
      <c r="C12" s="29">
        <v>2400000</v>
      </c>
      <c r="D12" s="29">
        <f t="shared" si="0"/>
        <v>724050</v>
      </c>
      <c r="E12" s="30">
        <f>+D12+B12+C12</f>
        <v>5551050</v>
      </c>
      <c r="F12" s="31">
        <v>9</v>
      </c>
      <c r="G12" s="29">
        <f t="shared" ref="G11:G26" si="2">SUM(F12*37000)</f>
        <v>333000</v>
      </c>
      <c r="H12" s="32">
        <f>SUM(E12-G12)</f>
        <v>5218050</v>
      </c>
    </row>
    <row r="13" spans="1:11" ht="14.25" customHeight="1" x14ac:dyDescent="0.45">
      <c r="A13" s="28">
        <v>3</v>
      </c>
      <c r="B13" s="29">
        <f t="shared" si="1"/>
        <v>5218050</v>
      </c>
      <c r="C13" s="29">
        <v>2400000</v>
      </c>
      <c r="D13" s="29">
        <f t="shared" si="0"/>
        <v>1142707.5</v>
      </c>
      <c r="E13" s="30">
        <f>+D13+B13+C13</f>
        <v>8760757.5</v>
      </c>
      <c r="F13" s="31">
        <v>8</v>
      </c>
      <c r="G13" s="29">
        <f t="shared" si="2"/>
        <v>296000</v>
      </c>
      <c r="H13" s="32">
        <f>SUM(E13-G13)</f>
        <v>8464757.5</v>
      </c>
    </row>
    <row r="14" spans="1:11" ht="14.25" customHeight="1" x14ac:dyDescent="0.45">
      <c r="A14" s="28">
        <v>4</v>
      </c>
      <c r="B14" s="29">
        <f t="shared" si="1"/>
        <v>8464757.5</v>
      </c>
      <c r="C14" s="29">
        <v>2400000</v>
      </c>
      <c r="D14" s="29">
        <f t="shared" si="0"/>
        <v>1629713.625</v>
      </c>
      <c r="E14" s="30">
        <f>+D14+B14+C14</f>
        <v>12494471.125</v>
      </c>
      <c r="F14" s="31">
        <v>8</v>
      </c>
      <c r="G14" s="29">
        <f t="shared" si="2"/>
        <v>296000</v>
      </c>
      <c r="H14" s="32">
        <f>SUM(E14-G14)</f>
        <v>12198471.125</v>
      </c>
    </row>
    <row r="15" spans="1:11" ht="14.25" customHeight="1" x14ac:dyDescent="0.45">
      <c r="A15" s="28">
        <v>5</v>
      </c>
      <c r="B15" s="29">
        <f t="shared" si="1"/>
        <v>12198471.125</v>
      </c>
      <c r="C15" s="29">
        <v>2400000</v>
      </c>
      <c r="D15" s="29">
        <f t="shared" si="0"/>
        <v>2189770.6687499997</v>
      </c>
      <c r="E15" s="30">
        <f>+D15+B15+C15</f>
        <v>16788241.793749999</v>
      </c>
      <c r="F15" s="31">
        <v>7</v>
      </c>
      <c r="G15" s="29">
        <f t="shared" si="2"/>
        <v>259000</v>
      </c>
      <c r="H15" s="32">
        <f>SUM(E15-G15)</f>
        <v>16529241.793749999</v>
      </c>
    </row>
    <row r="16" spans="1:11" ht="14.25" customHeight="1" x14ac:dyDescent="0.45">
      <c r="A16" s="28">
        <v>6</v>
      </c>
      <c r="B16" s="29">
        <f t="shared" si="1"/>
        <v>16529241.793749999</v>
      </c>
      <c r="C16" s="29">
        <v>2400000</v>
      </c>
      <c r="D16" s="29">
        <f t="shared" si="0"/>
        <v>2839386.2690625</v>
      </c>
      <c r="E16" s="30">
        <f>+D16+B16+C16</f>
        <v>21768628.0628125</v>
      </c>
      <c r="F16" s="31">
        <v>7</v>
      </c>
      <c r="G16" s="29">
        <f t="shared" si="2"/>
        <v>259000</v>
      </c>
      <c r="H16" s="32">
        <f>SUM(E16-G16)</f>
        <v>21509628.0628125</v>
      </c>
    </row>
    <row r="17" spans="1:8" ht="14.25" customHeight="1" x14ac:dyDescent="0.45">
      <c r="A17" s="28">
        <v>7</v>
      </c>
      <c r="B17" s="29">
        <f t="shared" si="1"/>
        <v>21509628.0628125</v>
      </c>
      <c r="C17" s="29">
        <v>1094940</v>
      </c>
      <c r="D17" s="29">
        <f t="shared" si="0"/>
        <v>3390685.209421875</v>
      </c>
      <c r="E17" s="30">
        <f>+D17+B17+C17</f>
        <v>25995253.272234373</v>
      </c>
      <c r="F17" s="31">
        <v>7</v>
      </c>
      <c r="G17" s="29">
        <f t="shared" si="2"/>
        <v>259000</v>
      </c>
      <c r="H17" s="32">
        <f>SUM(E17-G17)</f>
        <v>25736253.272234373</v>
      </c>
    </row>
    <row r="18" spans="1:8" ht="14.25" customHeight="1" x14ac:dyDescent="0.45">
      <c r="A18" s="28">
        <v>8</v>
      </c>
      <c r="B18" s="29">
        <f t="shared" si="1"/>
        <v>25736253.272234373</v>
      </c>
      <c r="C18" s="29">
        <v>1094940</v>
      </c>
      <c r="D18" s="29">
        <f t="shared" si="0"/>
        <v>4024678.9908351558</v>
      </c>
      <c r="E18" s="30">
        <f>+D18+B18+C18</f>
        <v>30855872.263069529</v>
      </c>
      <c r="F18" s="31">
        <v>7</v>
      </c>
      <c r="G18" s="29">
        <f t="shared" si="2"/>
        <v>259000</v>
      </c>
      <c r="H18" s="32">
        <f>SUM(E18-G18)</f>
        <v>30596872.263069529</v>
      </c>
    </row>
    <row r="19" spans="1:8" ht="14.25" customHeight="1" x14ac:dyDescent="0.45">
      <c r="A19" s="28">
        <v>9</v>
      </c>
      <c r="B19" s="29">
        <f t="shared" si="1"/>
        <v>30596872.263069529</v>
      </c>
      <c r="C19" s="29">
        <v>1094940</v>
      </c>
      <c r="D19" s="29">
        <f t="shared" si="0"/>
        <v>4753771.8394604288</v>
      </c>
      <c r="E19" s="30">
        <f>+D19+B19+C19</f>
        <v>36445584.102529958</v>
      </c>
      <c r="F19" s="31">
        <v>8</v>
      </c>
      <c r="G19" s="29">
        <f t="shared" si="2"/>
        <v>296000</v>
      </c>
      <c r="H19" s="32">
        <f>SUM(E19-G19)</f>
        <v>36149584.102529958</v>
      </c>
    </row>
    <row r="20" spans="1:8" ht="14.25" customHeight="1" thickBot="1" x14ac:dyDescent="0.5">
      <c r="A20" s="36">
        <v>10</v>
      </c>
      <c r="B20" s="29">
        <f t="shared" si="1"/>
        <v>36149584.102529958</v>
      </c>
      <c r="C20" s="29">
        <v>1094940</v>
      </c>
      <c r="D20" s="29">
        <f t="shared" si="0"/>
        <v>5586678.6153794937</v>
      </c>
      <c r="E20" s="30">
        <f>+D20+B20+C20</f>
        <v>42831202.717909455</v>
      </c>
      <c r="F20" s="31">
        <v>7</v>
      </c>
      <c r="G20" s="29">
        <f t="shared" si="2"/>
        <v>259000</v>
      </c>
      <c r="H20" s="32">
        <f>SUM(E20-G20)</f>
        <v>42572202.717909455</v>
      </c>
    </row>
    <row r="21" spans="1:8" ht="14.25" customHeight="1" x14ac:dyDescent="0.45">
      <c r="A21" s="37">
        <v>11</v>
      </c>
      <c r="B21" s="29">
        <f t="shared" si="1"/>
        <v>42572202.717909455</v>
      </c>
      <c r="C21" s="29">
        <v>1094940</v>
      </c>
      <c r="D21" s="29">
        <f t="shared" si="0"/>
        <v>6550071.4076864179</v>
      </c>
      <c r="E21" s="30">
        <f>+D21+B21+C21</f>
        <v>50217214.125595875</v>
      </c>
      <c r="F21" s="38">
        <v>6</v>
      </c>
      <c r="G21" s="29">
        <f t="shared" si="2"/>
        <v>222000</v>
      </c>
      <c r="H21" s="32">
        <f>SUM(E21-G21)</f>
        <v>49995214.125595875</v>
      </c>
    </row>
    <row r="22" spans="1:8" ht="14.25" customHeight="1" x14ac:dyDescent="0.45">
      <c r="A22" s="28">
        <v>12</v>
      </c>
      <c r="B22" s="29">
        <f t="shared" si="1"/>
        <v>49995214.125595875</v>
      </c>
      <c r="C22" s="29">
        <v>1094940</v>
      </c>
      <c r="D22" s="29">
        <f t="shared" si="0"/>
        <v>7663523.1188393813</v>
      </c>
      <c r="E22" s="30">
        <f>+D22+B22+C22</f>
        <v>58753677.244435258</v>
      </c>
      <c r="F22" s="38">
        <v>6</v>
      </c>
      <c r="G22" s="29">
        <f t="shared" si="2"/>
        <v>222000</v>
      </c>
      <c r="H22" s="32">
        <f>SUM(E22-G22)</f>
        <v>58531677.244435258</v>
      </c>
    </row>
    <row r="23" spans="1:8" ht="14.25" customHeight="1" x14ac:dyDescent="0.45">
      <c r="A23" s="39">
        <v>13</v>
      </c>
      <c r="B23" s="29">
        <f t="shared" si="1"/>
        <v>58531677.244435258</v>
      </c>
      <c r="C23" s="29">
        <v>1094940</v>
      </c>
      <c r="D23" s="29">
        <f t="shared" si="0"/>
        <v>8943992.5866652876</v>
      </c>
      <c r="E23" s="30">
        <f>+D23+B23+C23</f>
        <v>68570609.831100553</v>
      </c>
      <c r="F23" s="38">
        <v>7</v>
      </c>
      <c r="G23" s="29">
        <f t="shared" si="2"/>
        <v>259000</v>
      </c>
      <c r="H23" s="32">
        <f>SUM(E23-G23)</f>
        <v>68311609.831100553</v>
      </c>
    </row>
    <row r="24" spans="1:8" ht="14.25" customHeight="1" x14ac:dyDescent="0.45">
      <c r="A24" s="38">
        <v>14</v>
      </c>
      <c r="B24" s="29">
        <f t="shared" si="1"/>
        <v>68311609.831100553</v>
      </c>
      <c r="C24" s="29">
        <v>1094940</v>
      </c>
      <c r="D24" s="29">
        <f t="shared" si="0"/>
        <v>10410982.474665083</v>
      </c>
      <c r="E24" s="30">
        <f>+D24+B24+C24</f>
        <v>79817532.305765629</v>
      </c>
      <c r="F24" s="38">
        <v>7</v>
      </c>
      <c r="G24" s="29">
        <f t="shared" si="2"/>
        <v>259000</v>
      </c>
      <c r="H24" s="32">
        <f>SUM(E24-G24)</f>
        <v>79558532.305765629</v>
      </c>
    </row>
    <row r="25" spans="1:8" ht="14.25" customHeight="1" x14ac:dyDescent="0.45">
      <c r="A25" s="38">
        <v>15</v>
      </c>
      <c r="B25" s="29">
        <f t="shared" si="1"/>
        <v>79558532.305765629</v>
      </c>
      <c r="C25" s="29">
        <v>1320000</v>
      </c>
      <c r="D25" s="29">
        <f t="shared" si="0"/>
        <v>12131779.845864844</v>
      </c>
      <c r="E25" s="30">
        <f>+D25+B25+C25</f>
        <v>93010312.151630476</v>
      </c>
      <c r="F25" s="38">
        <v>1.72</v>
      </c>
      <c r="G25" s="29">
        <f t="shared" si="2"/>
        <v>63640</v>
      </c>
      <c r="H25" s="32">
        <f>SUM(E25-G25)</f>
        <v>92946672.151630476</v>
      </c>
    </row>
    <row r="26" spans="1:8" ht="14.25" customHeight="1" x14ac:dyDescent="0.45">
      <c r="A26" s="38">
        <v>16</v>
      </c>
      <c r="B26" s="29">
        <f t="shared" si="1"/>
        <v>92946672.151630476</v>
      </c>
      <c r="C26" s="29">
        <v>1320000</v>
      </c>
      <c r="D26" s="29">
        <f t="shared" si="0"/>
        <v>14140000.822744571</v>
      </c>
      <c r="E26" s="30">
        <f>+D26+B26+C26</f>
        <v>108406672.97437504</v>
      </c>
      <c r="F26" s="38">
        <v>1.7</v>
      </c>
      <c r="G26" s="29">
        <f t="shared" si="2"/>
        <v>62900</v>
      </c>
      <c r="H26" s="32">
        <f>SUM(E26-G26)</f>
        <v>108343772.97437504</v>
      </c>
    </row>
    <row r="27" spans="1:8" ht="14.25" customHeight="1" x14ac:dyDescent="0.45"/>
    <row r="28" spans="1:8" ht="14.25" customHeight="1" x14ac:dyDescent="0.45">
      <c r="G28" s="40"/>
    </row>
    <row r="29" spans="1:8" ht="14.25" customHeight="1" x14ac:dyDescent="0.45"/>
    <row r="30" spans="1:8" ht="14.25" customHeight="1" x14ac:dyDescent="0.45"/>
    <row r="31" spans="1:8" ht="14.25" customHeight="1" x14ac:dyDescent="0.45"/>
    <row r="32" spans="1:8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3984375" defaultRowHeight="15" customHeight="1" x14ac:dyDescent="0.45"/>
  <cols>
    <col min="1" max="1" width="10.73046875" customWidth="1"/>
    <col min="2" max="2" width="13.53125" customWidth="1"/>
    <col min="3" max="3" width="14.86328125" customWidth="1"/>
    <col min="4" max="4" width="15.53125" customWidth="1"/>
    <col min="5" max="5" width="13.265625" customWidth="1"/>
    <col min="6" max="6" width="20" customWidth="1"/>
  </cols>
  <sheetData>
    <row r="1" spans="1:6" ht="14.25" customHeight="1" x14ac:dyDescent="0.45"/>
    <row r="2" spans="1:6" ht="14.25" customHeight="1" x14ac:dyDescent="0.45">
      <c r="A2" s="1" t="s">
        <v>0</v>
      </c>
      <c r="B2" s="2">
        <v>37000</v>
      </c>
      <c r="C2" s="2"/>
      <c r="D2" s="1" t="s">
        <v>1</v>
      </c>
    </row>
    <row r="3" spans="1:6" ht="14.25" customHeight="1" x14ac:dyDescent="0.45"/>
    <row r="4" spans="1:6" ht="14.25" customHeight="1" x14ac:dyDescent="0.45">
      <c r="A4" s="3" t="s">
        <v>16</v>
      </c>
      <c r="B4" s="4">
        <v>0</v>
      </c>
      <c r="C4" s="4"/>
      <c r="D4" s="5" t="s">
        <v>2</v>
      </c>
      <c r="E4" s="6"/>
      <c r="F4" s="41"/>
    </row>
    <row r="5" spans="1:6" ht="14.25" customHeight="1" x14ac:dyDescent="0.45">
      <c r="A5" s="8" t="s">
        <v>3</v>
      </c>
      <c r="B5" s="9">
        <v>8.8400000000000006E-2</v>
      </c>
      <c r="C5" s="9"/>
      <c r="D5" s="42"/>
      <c r="E5" s="11"/>
      <c r="F5" s="12"/>
    </row>
    <row r="6" spans="1:6" ht="14.25" customHeight="1" x14ac:dyDescent="0.45">
      <c r="A6" s="8" t="s">
        <v>17</v>
      </c>
      <c r="B6" s="13"/>
      <c r="C6" s="14"/>
      <c r="D6" s="43"/>
      <c r="E6" s="11"/>
      <c r="F6" s="12"/>
    </row>
    <row r="7" spans="1:6" ht="14.25" customHeight="1" x14ac:dyDescent="0.45">
      <c r="A7" s="8" t="s">
        <v>18</v>
      </c>
      <c r="B7" s="9"/>
      <c r="C7" s="14"/>
      <c r="D7" s="43"/>
      <c r="E7" s="11"/>
      <c r="F7" s="12"/>
    </row>
    <row r="8" spans="1:6" ht="14.25" customHeight="1" x14ac:dyDescent="0.45">
      <c r="A8" s="17" t="s">
        <v>5</v>
      </c>
      <c r="B8" s="18"/>
      <c r="C8" s="18"/>
      <c r="D8" s="19"/>
      <c r="E8" s="20"/>
      <c r="F8" s="21"/>
    </row>
    <row r="9" spans="1:6" ht="14.25" customHeight="1" x14ac:dyDescent="0.45">
      <c r="A9" s="22" t="s">
        <v>6</v>
      </c>
      <c r="B9" s="23" t="s">
        <v>7</v>
      </c>
      <c r="C9" s="24" t="s">
        <v>8</v>
      </c>
      <c r="D9" s="24" t="s">
        <v>9</v>
      </c>
      <c r="E9" s="24" t="s">
        <v>8</v>
      </c>
      <c r="F9" s="24" t="s">
        <v>10</v>
      </c>
    </row>
    <row r="10" spans="1:6" ht="14.25" customHeight="1" x14ac:dyDescent="0.45">
      <c r="A10" s="28">
        <v>1</v>
      </c>
      <c r="B10" s="29">
        <v>5000000</v>
      </c>
      <c r="C10" s="29"/>
      <c r="D10" s="29">
        <f>+B10*B$5</f>
        <v>442000.00000000006</v>
      </c>
      <c r="E10" s="29"/>
      <c r="F10" s="32">
        <f t="shared" ref="F10:F24" si="0">+D10+B10+C10</f>
        <v>5442000</v>
      </c>
    </row>
    <row r="11" spans="1:6" ht="14.25" customHeight="1" x14ac:dyDescent="0.45">
      <c r="A11" s="28">
        <v>2</v>
      </c>
      <c r="B11" s="29">
        <f t="shared" ref="B11:B25" si="1">+F10</f>
        <v>5442000</v>
      </c>
      <c r="C11" s="29">
        <v>0</v>
      </c>
      <c r="D11" s="29">
        <f t="shared" ref="D11:D25" si="2">+(B11+C11)*B$5</f>
        <v>481072.80000000005</v>
      </c>
      <c r="E11" s="29"/>
      <c r="F11" s="32">
        <f t="shared" si="0"/>
        <v>5923072.7999999998</v>
      </c>
    </row>
    <row r="12" spans="1:6" ht="14.25" customHeight="1" x14ac:dyDescent="0.45">
      <c r="A12" s="28">
        <v>3</v>
      </c>
      <c r="B12" s="29">
        <f t="shared" si="1"/>
        <v>5923072.7999999998</v>
      </c>
      <c r="C12" s="29">
        <v>0</v>
      </c>
      <c r="D12" s="29">
        <f t="shared" si="2"/>
        <v>523599.63552000001</v>
      </c>
      <c r="E12" s="29"/>
      <c r="F12" s="32">
        <f t="shared" si="0"/>
        <v>6446672.4355199998</v>
      </c>
    </row>
    <row r="13" spans="1:6" ht="14.25" customHeight="1" x14ac:dyDescent="0.45">
      <c r="A13" s="28">
        <v>4</v>
      </c>
      <c r="B13" s="29">
        <f t="shared" si="1"/>
        <v>6446672.4355199998</v>
      </c>
      <c r="C13" s="29">
        <v>0</v>
      </c>
      <c r="D13" s="29">
        <f t="shared" si="2"/>
        <v>569885.84329996805</v>
      </c>
      <c r="E13" s="29"/>
      <c r="F13" s="32">
        <f t="shared" si="0"/>
        <v>7016558.278819968</v>
      </c>
    </row>
    <row r="14" spans="1:6" ht="14.25" customHeight="1" x14ac:dyDescent="0.45">
      <c r="A14" s="28">
        <v>5</v>
      </c>
      <c r="B14" s="29">
        <f t="shared" si="1"/>
        <v>7016558.278819968</v>
      </c>
      <c r="C14" s="29">
        <v>0</v>
      </c>
      <c r="D14" s="29">
        <f t="shared" si="2"/>
        <v>620263.7518476852</v>
      </c>
      <c r="E14" s="29"/>
      <c r="F14" s="32">
        <f t="shared" si="0"/>
        <v>7636822.0306676533</v>
      </c>
    </row>
    <row r="15" spans="1:6" ht="14.25" customHeight="1" x14ac:dyDescent="0.45">
      <c r="A15" s="28">
        <v>6</v>
      </c>
      <c r="B15" s="29">
        <f t="shared" si="1"/>
        <v>7636822.0306676533</v>
      </c>
      <c r="C15" s="29">
        <v>0</v>
      </c>
      <c r="D15" s="29">
        <f t="shared" si="2"/>
        <v>675095.06751102058</v>
      </c>
      <c r="E15" s="29"/>
      <c r="F15" s="32">
        <f t="shared" si="0"/>
        <v>8311917.0981786735</v>
      </c>
    </row>
    <row r="16" spans="1:6" ht="14.25" customHeight="1" x14ac:dyDescent="0.45">
      <c r="A16" s="28">
        <v>7</v>
      </c>
      <c r="B16" s="29">
        <f t="shared" si="1"/>
        <v>8311917.0981786735</v>
      </c>
      <c r="C16" s="29">
        <v>0</v>
      </c>
      <c r="D16" s="29">
        <f t="shared" si="2"/>
        <v>734773.47147899482</v>
      </c>
      <c r="E16" s="29"/>
      <c r="F16" s="32">
        <f t="shared" si="0"/>
        <v>9046690.5696576685</v>
      </c>
    </row>
    <row r="17" spans="1:6" ht="14.25" customHeight="1" x14ac:dyDescent="0.45">
      <c r="A17" s="28">
        <v>8</v>
      </c>
      <c r="B17" s="29">
        <f t="shared" si="1"/>
        <v>9046690.5696576685</v>
      </c>
      <c r="C17" s="29">
        <v>0</v>
      </c>
      <c r="D17" s="29">
        <f t="shared" si="2"/>
        <v>799727.44635773799</v>
      </c>
      <c r="E17" s="29"/>
      <c r="F17" s="32">
        <f t="shared" si="0"/>
        <v>9846418.0160154067</v>
      </c>
    </row>
    <row r="18" spans="1:6" ht="14.25" customHeight="1" x14ac:dyDescent="0.45">
      <c r="A18" s="28">
        <v>9</v>
      </c>
      <c r="B18" s="29">
        <f t="shared" si="1"/>
        <v>9846418.0160154067</v>
      </c>
      <c r="C18" s="29">
        <v>0</v>
      </c>
      <c r="D18" s="29">
        <f t="shared" si="2"/>
        <v>870423.35261576204</v>
      </c>
      <c r="E18" s="29"/>
      <c r="F18" s="32">
        <f t="shared" si="0"/>
        <v>10716841.368631169</v>
      </c>
    </row>
    <row r="19" spans="1:6" ht="14.25" customHeight="1" x14ac:dyDescent="0.45">
      <c r="A19" s="36">
        <v>10</v>
      </c>
      <c r="B19" s="29">
        <f t="shared" si="1"/>
        <v>10716841.368631169</v>
      </c>
      <c r="C19" s="29">
        <v>1320000</v>
      </c>
      <c r="D19" s="29">
        <f t="shared" si="2"/>
        <v>1064056.7769869955</v>
      </c>
      <c r="E19" s="29"/>
      <c r="F19" s="32">
        <f t="shared" si="0"/>
        <v>13100898.145618165</v>
      </c>
    </row>
    <row r="20" spans="1:6" ht="14.25" customHeight="1" x14ac:dyDescent="0.45">
      <c r="A20" s="37">
        <v>11</v>
      </c>
      <c r="B20" s="29">
        <f t="shared" si="1"/>
        <v>13100898.145618165</v>
      </c>
      <c r="C20" s="29">
        <v>1320000</v>
      </c>
      <c r="D20" s="29">
        <f t="shared" si="2"/>
        <v>1274807.3960726459</v>
      </c>
      <c r="E20" s="29"/>
      <c r="F20" s="32">
        <f t="shared" si="0"/>
        <v>15695705.541690812</v>
      </c>
    </row>
    <row r="21" spans="1:6" ht="14.25" customHeight="1" x14ac:dyDescent="0.45">
      <c r="A21" s="28">
        <v>12</v>
      </c>
      <c r="B21" s="29">
        <f t="shared" si="1"/>
        <v>15695705.541690812</v>
      </c>
      <c r="C21" s="29">
        <v>1320000</v>
      </c>
      <c r="D21" s="29">
        <f t="shared" si="2"/>
        <v>1504188.3698854679</v>
      </c>
      <c r="E21" s="29"/>
      <c r="F21" s="32">
        <f t="shared" si="0"/>
        <v>18519893.911576279</v>
      </c>
    </row>
    <row r="22" spans="1:6" ht="14.25" customHeight="1" x14ac:dyDescent="0.45">
      <c r="A22" s="39">
        <v>13</v>
      </c>
      <c r="B22" s="29">
        <f t="shared" si="1"/>
        <v>18519893.911576279</v>
      </c>
      <c r="C22" s="29">
        <v>1320000</v>
      </c>
      <c r="D22" s="29">
        <f t="shared" si="2"/>
        <v>1753846.6217833431</v>
      </c>
      <c r="E22" s="29"/>
      <c r="F22" s="32">
        <f t="shared" si="0"/>
        <v>21593740.533359621</v>
      </c>
    </row>
    <row r="23" spans="1:6" ht="14.25" customHeight="1" x14ac:dyDescent="0.45">
      <c r="A23" s="38">
        <v>14</v>
      </c>
      <c r="B23" s="29">
        <f t="shared" si="1"/>
        <v>21593740.533359621</v>
      </c>
      <c r="C23" s="29">
        <v>1320000</v>
      </c>
      <c r="D23" s="29">
        <f t="shared" si="2"/>
        <v>2025574.6631489906</v>
      </c>
      <c r="E23" s="29"/>
      <c r="F23" s="32">
        <f t="shared" si="0"/>
        <v>24939315.196508612</v>
      </c>
    </row>
    <row r="24" spans="1:6" ht="14.25" customHeight="1" x14ac:dyDescent="0.45">
      <c r="A24" s="38">
        <v>15</v>
      </c>
      <c r="B24" s="29">
        <f t="shared" si="1"/>
        <v>24939315.196508612</v>
      </c>
      <c r="C24" s="29">
        <v>1320000</v>
      </c>
      <c r="D24" s="29">
        <f t="shared" si="2"/>
        <v>2321323.4633713616</v>
      </c>
      <c r="E24" s="29"/>
      <c r="F24" s="32">
        <f t="shared" si="0"/>
        <v>28580638.659879975</v>
      </c>
    </row>
    <row r="25" spans="1:6" ht="14.25" customHeight="1" x14ac:dyDescent="0.45">
      <c r="A25" s="38">
        <v>16</v>
      </c>
      <c r="B25" s="29">
        <f t="shared" si="1"/>
        <v>28580638.659879975</v>
      </c>
      <c r="C25" s="29">
        <v>1320000</v>
      </c>
      <c r="D25" s="29">
        <f t="shared" si="2"/>
        <v>2643216.4575333898</v>
      </c>
      <c r="E25" s="29"/>
      <c r="F25" s="32">
        <f>+D25+B25+E25</f>
        <v>31223855.117413364</v>
      </c>
    </row>
    <row r="26" spans="1:6" ht="14.25" customHeight="1" x14ac:dyDescent="0.45"/>
    <row r="27" spans="1:6" ht="14.25" customHeight="1" x14ac:dyDescent="0.45"/>
    <row r="28" spans="1:6" ht="14.25" customHeight="1" x14ac:dyDescent="0.45"/>
    <row r="29" spans="1:6" ht="14.25" customHeight="1" x14ac:dyDescent="0.45"/>
    <row r="30" spans="1:6" ht="14.25" customHeight="1" x14ac:dyDescent="0.45"/>
    <row r="31" spans="1:6" ht="14.25" customHeight="1" x14ac:dyDescent="0.45"/>
    <row r="32" spans="1:6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 Paul Holmer Landero (axel.holmer)</cp:lastModifiedBy>
  <dcterms:modified xsi:type="dcterms:W3CDTF">2025-10-28T02:27:18Z</dcterms:modified>
</cp:coreProperties>
</file>